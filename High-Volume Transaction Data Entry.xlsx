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UPWORK PROJECT\"/>
    </mc:Choice>
  </mc:AlternateContent>
  <xr:revisionPtr revIDLastSave="0" documentId="13_ncr:1_{16DC6AD6-5358-4F9A-8B77-CD67C17F5D56}" xr6:coauthVersionLast="47" xr6:coauthVersionMax="47" xr10:uidLastSave="{00000000-0000-0000-0000-000000000000}"/>
  <bookViews>
    <workbookView xWindow="-120" yWindow="-120" windowWidth="20730" windowHeight="11160" xr2:uid="{EDC7BF73-F77B-4B55-A76B-81AA7F282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B55" i="1"/>
  <c r="B56" i="1"/>
  <c r="B57" i="1"/>
  <c r="B61" i="1"/>
  <c r="B62" i="1"/>
  <c r="B65" i="1"/>
  <c r="B66" i="1"/>
  <c r="B67" i="1"/>
</calcChain>
</file>

<file path=xl/sharedStrings.xml><?xml version="1.0" encoding="utf-8"?>
<sst xmlns="http://schemas.openxmlformats.org/spreadsheetml/2006/main" count="324" uniqueCount="169">
  <si>
    <t>Date</t>
  </si>
  <si>
    <t>Transaction ID</t>
  </si>
  <si>
    <t>Customer Name</t>
  </si>
  <si>
    <t>Items</t>
  </si>
  <si>
    <t>Amount (₦)</t>
  </si>
  <si>
    <t>Payment</t>
  </si>
  <si>
    <t>Verified By</t>
  </si>
  <si>
    <t>Shift</t>
  </si>
  <si>
    <t>TRX001</t>
  </si>
  <si>
    <t>John Okonkwo</t>
  </si>
  <si>
    <t>Fuel 20L</t>
  </si>
  <si>
    <t>Cash</t>
  </si>
  <si>
    <t>C. Onuoha</t>
  </si>
  <si>
    <t>Morning</t>
  </si>
  <si>
    <t>TRX002</t>
  </si>
  <si>
    <t>Mary Samuel</t>
  </si>
  <si>
    <t>Fuel 10L, Oil</t>
  </si>
  <si>
    <t>Card</t>
  </si>
  <si>
    <t>TRX003</t>
  </si>
  <si>
    <t>Emeka Okafor</t>
  </si>
  <si>
    <t>Fuel 30L</t>
  </si>
  <si>
    <t>Transfer</t>
  </si>
  <si>
    <t>TRX004</t>
  </si>
  <si>
    <t>Funke Adebayo</t>
  </si>
  <si>
    <t>Fuel 15L, Snacks</t>
  </si>
  <si>
    <t>TRX005</t>
  </si>
  <si>
    <t>James Akpan</t>
  </si>
  <si>
    <t>Fuel 25L</t>
  </si>
  <si>
    <t>TRX006</t>
  </si>
  <si>
    <t>Grace Bello</t>
  </si>
  <si>
    <t>Fuel 10L, Oil, Water</t>
  </si>
  <si>
    <t>TRX007</t>
  </si>
  <si>
    <t>Tunde Balogun</t>
  </si>
  <si>
    <t>Fuel 40L</t>
  </si>
  <si>
    <t>TRX008</t>
  </si>
  <si>
    <t>Ngozi Eze</t>
  </si>
  <si>
    <t>Fuel 12L</t>
  </si>
  <si>
    <t>TRX009</t>
  </si>
  <si>
    <t>Suleiman Musa</t>
  </si>
  <si>
    <t>Fuel 22L, Oil</t>
  </si>
  <si>
    <t>TRX010</t>
  </si>
  <si>
    <t>Chioma Nnamdi</t>
  </si>
  <si>
    <t>Fuel 18L</t>
  </si>
  <si>
    <t>TRX011</t>
  </si>
  <si>
    <t>Olu Seun</t>
  </si>
  <si>
    <t>Fuel 28L</t>
  </si>
  <si>
    <t>Afternoon</t>
  </si>
  <si>
    <t>TRX012</t>
  </si>
  <si>
    <t>Amaka Okoro</t>
  </si>
  <si>
    <t>Fuel 15L, Oil, Water</t>
  </si>
  <si>
    <t>TRX013</t>
  </si>
  <si>
    <t>Kofi Adams</t>
  </si>
  <si>
    <t>Fuel 32L</t>
  </si>
  <si>
    <t>TRX014</t>
  </si>
  <si>
    <t>Efe Johnson</t>
  </si>
  <si>
    <t>Fuel 10L</t>
  </si>
  <si>
    <t>TRX015</t>
  </si>
  <si>
    <t>Abdul Rasheed</t>
  </si>
  <si>
    <t>Fuel 45L</t>
  </si>
  <si>
    <t>TRX016</t>
  </si>
  <si>
    <t>Blessing Uba</t>
  </si>
  <si>
    <t>Fuel 18L, Oil</t>
  </si>
  <si>
    <t>TRX017</t>
  </si>
  <si>
    <t>Chinwe Okafor</t>
  </si>
  <si>
    <t>Fuel 22L</t>
  </si>
  <si>
    <t>TRX018</t>
  </si>
  <si>
    <t>Femi Adeleke</t>
  </si>
  <si>
    <t>Fuel 30L, Snacks</t>
  </si>
  <si>
    <t>TRX019</t>
  </si>
  <si>
    <t>Adaeze Nwosu</t>
  </si>
  <si>
    <t>TRX020</t>
  </si>
  <si>
    <t>Yakubu Gowon</t>
  </si>
  <si>
    <t>Fuel 35L</t>
  </si>
  <si>
    <t>TRX021</t>
  </si>
  <si>
    <t>Sarah James</t>
  </si>
  <si>
    <t>Fuel 20L, Oil</t>
  </si>
  <si>
    <t>TRX022</t>
  </si>
  <si>
    <t>Kemi Adebisi</t>
  </si>
  <si>
    <t>TRX023</t>
  </si>
  <si>
    <t>Usman Bello</t>
  </si>
  <si>
    <t>Fuel 15L</t>
  </si>
  <si>
    <t>Evening</t>
  </si>
  <si>
    <t>TRX024</t>
  </si>
  <si>
    <t>Ngozi Ezenwa</t>
  </si>
  <si>
    <t>Fuel 38L</t>
  </si>
  <si>
    <t>TRX025</t>
  </si>
  <si>
    <t>Dayo Akindele</t>
  </si>
  <si>
    <t>TRX026</t>
  </si>
  <si>
    <t>Chuks Okafor</t>
  </si>
  <si>
    <t>Fuel 42L</t>
  </si>
  <si>
    <t>TRX027</t>
  </si>
  <si>
    <t>Bukola Adams</t>
  </si>
  <si>
    <t>Fuel 28L, Oil</t>
  </si>
  <si>
    <t>TRX028</t>
  </si>
  <si>
    <t>Emma Emmanuel</t>
  </si>
  <si>
    <t>Fuel 16L</t>
  </si>
  <si>
    <t>TRX029</t>
  </si>
  <si>
    <t>Ruth Abraham</t>
  </si>
  <si>
    <t>Fuel 33L</t>
  </si>
  <si>
    <t>TRX030</t>
  </si>
  <si>
    <t>Segun Ola</t>
  </si>
  <si>
    <t>Fuel 19L, Snacks</t>
  </si>
  <si>
    <t>TRX031</t>
  </si>
  <si>
    <t>Lola Okoye</t>
  </si>
  <si>
    <t>Fuel 24L</t>
  </si>
  <si>
    <t>TRX032</t>
  </si>
  <si>
    <t>Taiwo Kehinde</t>
  </si>
  <si>
    <t>Fuel 36L</t>
  </si>
  <si>
    <t>TRX033</t>
  </si>
  <si>
    <t>Bimbo Adebayo</t>
  </si>
  <si>
    <t>Fuel 14L</t>
  </si>
  <si>
    <t>TRX034</t>
  </si>
  <si>
    <t>Idris Sulaiman</t>
  </si>
  <si>
    <t>Fuel 29L, Oil</t>
  </si>
  <si>
    <t>TRX035</t>
  </si>
  <si>
    <t>Esther Ukpong</t>
  </si>
  <si>
    <t>Fuel 41L</t>
  </si>
  <si>
    <t>TRX036</t>
  </si>
  <si>
    <t>Peter Obi</t>
  </si>
  <si>
    <t>Fuel 17L</t>
  </si>
  <si>
    <t>TRX037</t>
  </si>
  <si>
    <t>Gloria Bassey</t>
  </si>
  <si>
    <t>Fuel 23L, Oil</t>
  </si>
  <si>
    <t>TRX038</t>
  </si>
  <si>
    <t>Yemi Adetola</t>
  </si>
  <si>
    <t>Fuel 31L</t>
  </si>
  <si>
    <t>TRX039</t>
  </si>
  <si>
    <t>Chidi Nnenna</t>
  </si>
  <si>
    <t>Fuel 13L</t>
  </si>
  <si>
    <t>TRX040</t>
  </si>
  <si>
    <t>Rashida Umar</t>
  </si>
  <si>
    <t>Fuel 27L</t>
  </si>
  <si>
    <t>TRX041</t>
  </si>
  <si>
    <t>Femi Ojo</t>
  </si>
  <si>
    <t>Fuel 34L</t>
  </si>
  <si>
    <t>TRX042</t>
  </si>
  <si>
    <t>Adaobi Okoli</t>
  </si>
  <si>
    <t>Fuel 21L, Oil</t>
  </si>
  <si>
    <t>TRX043</t>
  </si>
  <si>
    <t>Kingsley Madu</t>
  </si>
  <si>
    <t>Fuel 39L</t>
  </si>
  <si>
    <t>TRX044</t>
  </si>
  <si>
    <t>Yetunde Akin</t>
  </si>
  <si>
    <t>Fuel 26L</t>
  </si>
  <si>
    <t>TRX045</t>
  </si>
  <si>
    <t>Abba Musa</t>
  </si>
  <si>
    <t>Fuel 12L, Oil, Water</t>
  </si>
  <si>
    <t>TRX046</t>
  </si>
  <si>
    <t>Patience Eze</t>
  </si>
  <si>
    <t>Fuel 37L</t>
  </si>
  <si>
    <t>TRX047</t>
  </si>
  <si>
    <t>Daniel Okafor</t>
  </si>
  <si>
    <t>Fuel 43L</t>
  </si>
  <si>
    <t>TRX048</t>
  </si>
  <si>
    <t>Amarachi Nwoke</t>
  </si>
  <si>
    <t>TRX049</t>
  </si>
  <si>
    <t>Ibrahim Kato</t>
  </si>
  <si>
    <t>Fuel 29L</t>
  </si>
  <si>
    <t>TRX050</t>
  </si>
  <si>
    <t>Chinyere Eze</t>
  </si>
  <si>
    <t>Fuel 33L, Oil</t>
  </si>
  <si>
    <t>SUMMARY</t>
  </si>
  <si>
    <t>Total Transactions</t>
  </si>
  <si>
    <t>Total Revenue</t>
  </si>
  <si>
    <t>Average Transaction</t>
  </si>
  <si>
    <t>By Payment Method</t>
  </si>
  <si>
    <t>By Shift</t>
  </si>
  <si>
    <t>Verification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</si>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</sst>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70]#,##0"/>
  </numFmts>
  <fonts count="3" x14ac:knownFonts="1">
    <font>
      <sz val="11"/>
      <color theme="1"/>
      <name val="Calibri"/>
      <family val="2"/>
      <scheme val="minor"/>
    </font>
    <font>
      <sz val="12"/>
      <color rgb="FF0F1115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2" borderId="1" xfId="0" applyNumberFormat="1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164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3" fontId="2" fillId="3" borderId="1" xfId="0" applyNumberFormat="1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6323-32BC-469A-B4B1-3E64BF3C6F8D}">
  <dimension ref="A1:H71"/>
  <sheetViews>
    <sheetView showGridLines="0" tabSelected="1" topLeftCell="A48" zoomScale="78" zoomScaleNormal="78" workbookViewId="0">
      <selection activeCell="O53" sqref="O53"/>
    </sheetView>
  </sheetViews>
  <sheetFormatPr defaultRowHeight="15" x14ac:dyDescent="0.25"/>
  <cols>
    <col min="1" max="1" width="22.7109375" bestFit="1" customWidth="1"/>
    <col min="2" max="2" width="18.28515625" bestFit="1" customWidth="1"/>
    <col min="3" max="3" width="19.5703125" bestFit="1" customWidth="1"/>
    <col min="4" max="4" width="21" bestFit="1" customWidth="1"/>
    <col min="5" max="5" width="14.7109375" style="6" bestFit="1" customWidth="1"/>
    <col min="6" max="6" width="11.5703125" bestFit="1" customWidth="1"/>
    <col min="7" max="7" width="14.42578125" bestFit="1" customWidth="1"/>
    <col min="8" max="8" width="11.42578125" bestFit="1" customWidth="1"/>
  </cols>
  <sheetData>
    <row r="1" spans="1:8" ht="15.75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</row>
    <row r="2" spans="1:8" ht="15.75" x14ac:dyDescent="0.25">
      <c r="A2" s="1">
        <v>45719</v>
      </c>
      <c r="B2" s="2" t="s">
        <v>8</v>
      </c>
      <c r="C2" s="2" t="s">
        <v>9</v>
      </c>
      <c r="D2" s="2" t="s">
        <v>10</v>
      </c>
      <c r="E2" s="7">
        <v>15000</v>
      </c>
      <c r="F2" s="2" t="s">
        <v>11</v>
      </c>
      <c r="G2" s="2" t="s">
        <v>12</v>
      </c>
      <c r="H2" s="2" t="s">
        <v>13</v>
      </c>
    </row>
    <row r="3" spans="1:8" ht="15.75" x14ac:dyDescent="0.25">
      <c r="A3" s="1">
        <v>45719</v>
      </c>
      <c r="B3" s="2" t="s">
        <v>14</v>
      </c>
      <c r="C3" s="2" t="s">
        <v>15</v>
      </c>
      <c r="D3" s="2" t="s">
        <v>16</v>
      </c>
      <c r="E3" s="7">
        <v>8500</v>
      </c>
      <c r="F3" s="2" t="s">
        <v>17</v>
      </c>
      <c r="G3" s="2" t="s">
        <v>12</v>
      </c>
      <c r="H3" s="2" t="s">
        <v>13</v>
      </c>
    </row>
    <row r="4" spans="1:8" ht="15.75" x14ac:dyDescent="0.25">
      <c r="A4" s="1">
        <v>45719</v>
      </c>
      <c r="B4" s="2" t="s">
        <v>18</v>
      </c>
      <c r="C4" s="2" t="s">
        <v>19</v>
      </c>
      <c r="D4" s="2" t="s">
        <v>20</v>
      </c>
      <c r="E4" s="7">
        <v>22500</v>
      </c>
      <c r="F4" s="2" t="s">
        <v>21</v>
      </c>
      <c r="G4" s="2" t="s">
        <v>12</v>
      </c>
      <c r="H4" s="2" t="s">
        <v>13</v>
      </c>
    </row>
    <row r="5" spans="1:8" ht="15.75" x14ac:dyDescent="0.25">
      <c r="A5" s="1">
        <v>45719</v>
      </c>
      <c r="B5" s="2" t="s">
        <v>22</v>
      </c>
      <c r="C5" s="2" t="s">
        <v>23</v>
      </c>
      <c r="D5" s="2" t="s">
        <v>24</v>
      </c>
      <c r="E5" s="7">
        <v>12200</v>
      </c>
      <c r="F5" s="2" t="s">
        <v>11</v>
      </c>
      <c r="G5" s="2" t="s">
        <v>12</v>
      </c>
      <c r="H5" s="2" t="s">
        <v>13</v>
      </c>
    </row>
    <row r="6" spans="1:8" ht="15.75" x14ac:dyDescent="0.25">
      <c r="A6" s="1">
        <v>45719</v>
      </c>
      <c r="B6" s="2" t="s">
        <v>25</v>
      </c>
      <c r="C6" s="2" t="s">
        <v>26</v>
      </c>
      <c r="D6" s="2" t="s">
        <v>27</v>
      </c>
      <c r="E6" s="7">
        <v>18750</v>
      </c>
      <c r="F6" s="2" t="s">
        <v>11</v>
      </c>
      <c r="G6" s="2" t="s">
        <v>12</v>
      </c>
      <c r="H6" s="2" t="s">
        <v>13</v>
      </c>
    </row>
    <row r="7" spans="1:8" ht="15.75" x14ac:dyDescent="0.25">
      <c r="A7" s="1">
        <v>45719</v>
      </c>
      <c r="B7" s="2" t="s">
        <v>28</v>
      </c>
      <c r="C7" s="2" t="s">
        <v>29</v>
      </c>
      <c r="D7" s="2" t="s">
        <v>30</v>
      </c>
      <c r="E7" s="7">
        <v>9800</v>
      </c>
      <c r="F7" s="2" t="s">
        <v>17</v>
      </c>
      <c r="G7" s="2" t="s">
        <v>12</v>
      </c>
      <c r="H7" s="2" t="s">
        <v>13</v>
      </c>
    </row>
    <row r="8" spans="1:8" ht="15.75" x14ac:dyDescent="0.25">
      <c r="A8" s="1">
        <v>45719</v>
      </c>
      <c r="B8" s="2" t="s">
        <v>31</v>
      </c>
      <c r="C8" s="2" t="s">
        <v>32</v>
      </c>
      <c r="D8" s="2" t="s">
        <v>33</v>
      </c>
      <c r="E8" s="7">
        <v>30000</v>
      </c>
      <c r="F8" s="2" t="s">
        <v>21</v>
      </c>
      <c r="G8" s="2" t="s">
        <v>12</v>
      </c>
      <c r="H8" s="2" t="s">
        <v>13</v>
      </c>
    </row>
    <row r="9" spans="1:8" ht="15.75" x14ac:dyDescent="0.25">
      <c r="A9" s="1">
        <v>45719</v>
      </c>
      <c r="B9" s="2" t="s">
        <v>34</v>
      </c>
      <c r="C9" s="2" t="s">
        <v>35</v>
      </c>
      <c r="D9" s="2" t="s">
        <v>36</v>
      </c>
      <c r="E9" s="7">
        <v>9000</v>
      </c>
      <c r="F9" s="2" t="s">
        <v>11</v>
      </c>
      <c r="G9" s="2" t="s">
        <v>12</v>
      </c>
      <c r="H9" s="2" t="s">
        <v>13</v>
      </c>
    </row>
    <row r="10" spans="1:8" ht="15.75" x14ac:dyDescent="0.25">
      <c r="A10" s="1">
        <v>45719</v>
      </c>
      <c r="B10" s="2" t="s">
        <v>37</v>
      </c>
      <c r="C10" s="2" t="s">
        <v>38</v>
      </c>
      <c r="D10" s="2" t="s">
        <v>39</v>
      </c>
      <c r="E10" s="7">
        <v>18200</v>
      </c>
      <c r="F10" s="2" t="s">
        <v>17</v>
      </c>
      <c r="G10" s="2" t="s">
        <v>12</v>
      </c>
      <c r="H10" s="2" t="s">
        <v>13</v>
      </c>
    </row>
    <row r="11" spans="1:8" ht="15.75" x14ac:dyDescent="0.25">
      <c r="A11" s="1">
        <v>45719</v>
      </c>
      <c r="B11" s="2" t="s">
        <v>40</v>
      </c>
      <c r="C11" s="2" t="s">
        <v>41</v>
      </c>
      <c r="D11" s="2" t="s">
        <v>42</v>
      </c>
      <c r="E11" s="7">
        <v>13500</v>
      </c>
      <c r="F11" s="2" t="s">
        <v>11</v>
      </c>
      <c r="G11" s="2" t="s">
        <v>12</v>
      </c>
      <c r="H11" s="2" t="s">
        <v>13</v>
      </c>
    </row>
    <row r="12" spans="1:8" ht="15.75" x14ac:dyDescent="0.25">
      <c r="A12" s="1">
        <v>45719</v>
      </c>
      <c r="B12" s="2" t="s">
        <v>43</v>
      </c>
      <c r="C12" s="2" t="s">
        <v>44</v>
      </c>
      <c r="D12" s="2" t="s">
        <v>45</v>
      </c>
      <c r="E12" s="7">
        <v>21000</v>
      </c>
      <c r="F12" s="2" t="s">
        <v>11</v>
      </c>
      <c r="G12" s="2" t="s">
        <v>12</v>
      </c>
      <c r="H12" s="2" t="s">
        <v>46</v>
      </c>
    </row>
    <row r="13" spans="1:8" ht="15.75" x14ac:dyDescent="0.25">
      <c r="A13" s="1">
        <v>45719</v>
      </c>
      <c r="B13" s="2" t="s">
        <v>47</v>
      </c>
      <c r="C13" s="2" t="s">
        <v>48</v>
      </c>
      <c r="D13" s="2" t="s">
        <v>49</v>
      </c>
      <c r="E13" s="7">
        <v>14200</v>
      </c>
      <c r="F13" s="2" t="s">
        <v>17</v>
      </c>
      <c r="G13" s="2" t="s">
        <v>12</v>
      </c>
      <c r="H13" s="2" t="s">
        <v>46</v>
      </c>
    </row>
    <row r="14" spans="1:8" ht="15.75" x14ac:dyDescent="0.25">
      <c r="A14" s="1">
        <v>45719</v>
      </c>
      <c r="B14" s="2" t="s">
        <v>50</v>
      </c>
      <c r="C14" s="2" t="s">
        <v>51</v>
      </c>
      <c r="D14" s="2" t="s">
        <v>52</v>
      </c>
      <c r="E14" s="7">
        <v>24000</v>
      </c>
      <c r="F14" s="2" t="s">
        <v>21</v>
      </c>
      <c r="G14" s="2" t="s">
        <v>12</v>
      </c>
      <c r="H14" s="2" t="s">
        <v>46</v>
      </c>
    </row>
    <row r="15" spans="1:8" ht="15.75" x14ac:dyDescent="0.25">
      <c r="A15" s="1">
        <v>45719</v>
      </c>
      <c r="B15" s="2" t="s">
        <v>53</v>
      </c>
      <c r="C15" s="2" t="s">
        <v>54</v>
      </c>
      <c r="D15" s="2" t="s">
        <v>55</v>
      </c>
      <c r="E15" s="7">
        <v>7500</v>
      </c>
      <c r="F15" s="2" t="s">
        <v>11</v>
      </c>
      <c r="G15" s="2" t="s">
        <v>12</v>
      </c>
      <c r="H15" s="2" t="s">
        <v>46</v>
      </c>
    </row>
    <row r="16" spans="1:8" ht="15.75" x14ac:dyDescent="0.25">
      <c r="A16" s="1">
        <v>45719</v>
      </c>
      <c r="B16" s="2" t="s">
        <v>56</v>
      </c>
      <c r="C16" s="2" t="s">
        <v>57</v>
      </c>
      <c r="D16" s="2" t="s">
        <v>58</v>
      </c>
      <c r="E16" s="7">
        <v>33750</v>
      </c>
      <c r="F16" s="2" t="s">
        <v>17</v>
      </c>
      <c r="G16" s="2" t="s">
        <v>12</v>
      </c>
      <c r="H16" s="2" t="s">
        <v>46</v>
      </c>
    </row>
    <row r="17" spans="1:8" ht="15.75" x14ac:dyDescent="0.25">
      <c r="A17" s="1">
        <v>45719</v>
      </c>
      <c r="B17" s="2" t="s">
        <v>59</v>
      </c>
      <c r="C17" s="2" t="s">
        <v>60</v>
      </c>
      <c r="D17" s="2" t="s">
        <v>61</v>
      </c>
      <c r="E17" s="7">
        <v>15200</v>
      </c>
      <c r="F17" s="2" t="s">
        <v>11</v>
      </c>
      <c r="G17" s="2" t="s">
        <v>12</v>
      </c>
      <c r="H17" s="2" t="s">
        <v>46</v>
      </c>
    </row>
    <row r="18" spans="1:8" ht="15.75" x14ac:dyDescent="0.25">
      <c r="A18" s="1">
        <v>45719</v>
      </c>
      <c r="B18" s="2" t="s">
        <v>62</v>
      </c>
      <c r="C18" s="2" t="s">
        <v>63</v>
      </c>
      <c r="D18" s="2" t="s">
        <v>64</v>
      </c>
      <c r="E18" s="7">
        <v>16500</v>
      </c>
      <c r="F18" s="2" t="s">
        <v>21</v>
      </c>
      <c r="G18" s="2" t="s">
        <v>12</v>
      </c>
      <c r="H18" s="2" t="s">
        <v>46</v>
      </c>
    </row>
    <row r="19" spans="1:8" ht="15.75" x14ac:dyDescent="0.25">
      <c r="A19" s="1">
        <v>45719</v>
      </c>
      <c r="B19" s="2" t="s">
        <v>65</v>
      </c>
      <c r="C19" s="2" t="s">
        <v>66</v>
      </c>
      <c r="D19" s="2" t="s">
        <v>67</v>
      </c>
      <c r="E19" s="7">
        <v>24500</v>
      </c>
      <c r="F19" s="2" t="s">
        <v>17</v>
      </c>
      <c r="G19" s="2" t="s">
        <v>12</v>
      </c>
      <c r="H19" s="2" t="s">
        <v>46</v>
      </c>
    </row>
    <row r="20" spans="1:8" ht="15.75" x14ac:dyDescent="0.25">
      <c r="A20" s="1">
        <v>45719</v>
      </c>
      <c r="B20" s="2" t="s">
        <v>68</v>
      </c>
      <c r="C20" s="2" t="s">
        <v>69</v>
      </c>
      <c r="D20" s="2" t="s">
        <v>36</v>
      </c>
      <c r="E20" s="7">
        <v>9000</v>
      </c>
      <c r="F20" s="2" t="s">
        <v>11</v>
      </c>
      <c r="G20" s="2" t="s">
        <v>12</v>
      </c>
      <c r="H20" s="2" t="s">
        <v>46</v>
      </c>
    </row>
    <row r="21" spans="1:8" ht="15.75" x14ac:dyDescent="0.25">
      <c r="A21" s="1">
        <v>45719</v>
      </c>
      <c r="B21" s="2" t="s">
        <v>70</v>
      </c>
      <c r="C21" s="2" t="s">
        <v>71</v>
      </c>
      <c r="D21" s="2" t="s">
        <v>72</v>
      </c>
      <c r="E21" s="7">
        <v>26250</v>
      </c>
      <c r="F21" s="2" t="s">
        <v>21</v>
      </c>
      <c r="G21" s="2" t="s">
        <v>12</v>
      </c>
      <c r="H21" s="2" t="s">
        <v>46</v>
      </c>
    </row>
    <row r="22" spans="1:8" ht="15.75" x14ac:dyDescent="0.25">
      <c r="A22" s="1">
        <v>45719</v>
      </c>
      <c r="B22" s="2" t="s">
        <v>73</v>
      </c>
      <c r="C22" s="2" t="s">
        <v>74</v>
      </c>
      <c r="D22" s="2" t="s">
        <v>75</v>
      </c>
      <c r="E22" s="7">
        <v>17800</v>
      </c>
      <c r="F22" s="2" t="s">
        <v>17</v>
      </c>
      <c r="G22" s="2" t="s">
        <v>12</v>
      </c>
      <c r="H22" s="2" t="s">
        <v>46</v>
      </c>
    </row>
    <row r="23" spans="1:8" ht="15.75" x14ac:dyDescent="0.25">
      <c r="A23" s="1">
        <v>45719</v>
      </c>
      <c r="B23" s="2" t="s">
        <v>76</v>
      </c>
      <c r="C23" s="2" t="s">
        <v>77</v>
      </c>
      <c r="D23" s="2" t="s">
        <v>27</v>
      </c>
      <c r="E23" s="7">
        <v>18750</v>
      </c>
      <c r="F23" s="2" t="s">
        <v>11</v>
      </c>
      <c r="G23" s="2" t="s">
        <v>12</v>
      </c>
      <c r="H23" s="2" t="s">
        <v>46</v>
      </c>
    </row>
    <row r="24" spans="1:8" ht="15.75" x14ac:dyDescent="0.25">
      <c r="A24" s="1">
        <v>45719</v>
      </c>
      <c r="B24" s="2" t="s">
        <v>78</v>
      </c>
      <c r="C24" s="2" t="s">
        <v>79</v>
      </c>
      <c r="D24" s="2" t="s">
        <v>80</v>
      </c>
      <c r="E24" s="7">
        <v>11250</v>
      </c>
      <c r="F24" s="2" t="s">
        <v>11</v>
      </c>
      <c r="G24" s="2" t="s">
        <v>12</v>
      </c>
      <c r="H24" s="2" t="s">
        <v>81</v>
      </c>
    </row>
    <row r="25" spans="1:8" ht="15.75" x14ac:dyDescent="0.25">
      <c r="A25" s="1">
        <v>45719</v>
      </c>
      <c r="B25" s="2" t="s">
        <v>82</v>
      </c>
      <c r="C25" s="2" t="s">
        <v>83</v>
      </c>
      <c r="D25" s="2" t="s">
        <v>84</v>
      </c>
      <c r="E25" s="7">
        <v>28500</v>
      </c>
      <c r="F25" s="2" t="s">
        <v>21</v>
      </c>
      <c r="G25" s="2" t="s">
        <v>12</v>
      </c>
      <c r="H25" s="2" t="s">
        <v>81</v>
      </c>
    </row>
    <row r="26" spans="1:8" ht="15.75" x14ac:dyDescent="0.25">
      <c r="A26" s="1">
        <v>45719</v>
      </c>
      <c r="B26" s="2" t="s">
        <v>85</v>
      </c>
      <c r="C26" s="2" t="s">
        <v>86</v>
      </c>
      <c r="D26" s="2" t="s">
        <v>30</v>
      </c>
      <c r="E26" s="7">
        <v>10800</v>
      </c>
      <c r="F26" s="2" t="s">
        <v>17</v>
      </c>
      <c r="G26" s="2" t="s">
        <v>12</v>
      </c>
      <c r="H26" s="2" t="s">
        <v>81</v>
      </c>
    </row>
    <row r="27" spans="1:8" ht="15.75" x14ac:dyDescent="0.25">
      <c r="A27" s="1">
        <v>45719</v>
      </c>
      <c r="B27" s="2" t="s">
        <v>87</v>
      </c>
      <c r="C27" s="2" t="s">
        <v>88</v>
      </c>
      <c r="D27" s="2" t="s">
        <v>89</v>
      </c>
      <c r="E27" s="7">
        <v>31500</v>
      </c>
      <c r="F27" s="2" t="s">
        <v>11</v>
      </c>
      <c r="G27" s="2" t="s">
        <v>12</v>
      </c>
      <c r="H27" s="2" t="s">
        <v>81</v>
      </c>
    </row>
    <row r="28" spans="1:8" ht="15.75" x14ac:dyDescent="0.25">
      <c r="A28" s="1">
        <v>45719</v>
      </c>
      <c r="B28" s="2" t="s">
        <v>90</v>
      </c>
      <c r="C28" s="2" t="s">
        <v>91</v>
      </c>
      <c r="D28" s="2" t="s">
        <v>92</v>
      </c>
      <c r="E28" s="7">
        <v>23200</v>
      </c>
      <c r="F28" s="2" t="s">
        <v>17</v>
      </c>
      <c r="G28" s="2" t="s">
        <v>12</v>
      </c>
      <c r="H28" s="2" t="s">
        <v>81</v>
      </c>
    </row>
    <row r="29" spans="1:8" ht="15.75" x14ac:dyDescent="0.25">
      <c r="A29" s="1">
        <v>45719</v>
      </c>
      <c r="B29" s="2" t="s">
        <v>93</v>
      </c>
      <c r="C29" s="2" t="s">
        <v>94</v>
      </c>
      <c r="D29" s="2" t="s">
        <v>95</v>
      </c>
      <c r="E29" s="7">
        <v>12000</v>
      </c>
      <c r="F29" s="2" t="s">
        <v>11</v>
      </c>
      <c r="G29" s="2" t="s">
        <v>12</v>
      </c>
      <c r="H29" s="2" t="s">
        <v>81</v>
      </c>
    </row>
    <row r="30" spans="1:8" ht="15.75" x14ac:dyDescent="0.25">
      <c r="A30" s="1">
        <v>45719</v>
      </c>
      <c r="B30" s="2" t="s">
        <v>96</v>
      </c>
      <c r="C30" s="2" t="s">
        <v>97</v>
      </c>
      <c r="D30" s="2" t="s">
        <v>98</v>
      </c>
      <c r="E30" s="7">
        <v>24750</v>
      </c>
      <c r="F30" s="2" t="s">
        <v>21</v>
      </c>
      <c r="G30" s="2" t="s">
        <v>12</v>
      </c>
      <c r="H30" s="2" t="s">
        <v>81</v>
      </c>
    </row>
    <row r="31" spans="1:8" ht="15.75" x14ac:dyDescent="0.25">
      <c r="A31" s="1">
        <v>45719</v>
      </c>
      <c r="B31" s="2" t="s">
        <v>99</v>
      </c>
      <c r="C31" s="2" t="s">
        <v>100</v>
      </c>
      <c r="D31" s="2" t="s">
        <v>101</v>
      </c>
      <c r="E31" s="7">
        <v>15500</v>
      </c>
      <c r="F31" s="2" t="s">
        <v>11</v>
      </c>
      <c r="G31" s="2" t="s">
        <v>12</v>
      </c>
      <c r="H31" s="2" t="s">
        <v>81</v>
      </c>
    </row>
    <row r="32" spans="1:8" ht="15.75" x14ac:dyDescent="0.25">
      <c r="A32" s="1">
        <v>45719</v>
      </c>
      <c r="B32" s="2" t="s">
        <v>102</v>
      </c>
      <c r="C32" s="2" t="s">
        <v>103</v>
      </c>
      <c r="D32" s="2" t="s">
        <v>104</v>
      </c>
      <c r="E32" s="7">
        <v>18000</v>
      </c>
      <c r="F32" s="2" t="s">
        <v>17</v>
      </c>
      <c r="G32" s="2" t="s">
        <v>12</v>
      </c>
      <c r="H32" s="2" t="s">
        <v>81</v>
      </c>
    </row>
    <row r="33" spans="1:8" ht="15.75" x14ac:dyDescent="0.25">
      <c r="A33" s="1">
        <v>45719</v>
      </c>
      <c r="B33" s="2" t="s">
        <v>105</v>
      </c>
      <c r="C33" s="2" t="s">
        <v>106</v>
      </c>
      <c r="D33" s="2" t="s">
        <v>107</v>
      </c>
      <c r="E33" s="7">
        <v>27000</v>
      </c>
      <c r="F33" s="2" t="s">
        <v>21</v>
      </c>
      <c r="G33" s="2" t="s">
        <v>12</v>
      </c>
      <c r="H33" s="2" t="s">
        <v>81</v>
      </c>
    </row>
    <row r="34" spans="1:8" ht="15.75" x14ac:dyDescent="0.25">
      <c r="A34" s="1">
        <v>45719</v>
      </c>
      <c r="B34" s="2" t="s">
        <v>108</v>
      </c>
      <c r="C34" s="2" t="s">
        <v>109</v>
      </c>
      <c r="D34" s="2" t="s">
        <v>110</v>
      </c>
      <c r="E34" s="7">
        <v>10500</v>
      </c>
      <c r="F34" s="2" t="s">
        <v>11</v>
      </c>
      <c r="G34" s="2" t="s">
        <v>12</v>
      </c>
      <c r="H34" s="2" t="s">
        <v>81</v>
      </c>
    </row>
    <row r="35" spans="1:8" ht="15.75" x14ac:dyDescent="0.25">
      <c r="A35" s="1">
        <v>45719</v>
      </c>
      <c r="B35" s="2" t="s">
        <v>111</v>
      </c>
      <c r="C35" s="2" t="s">
        <v>112</v>
      </c>
      <c r="D35" s="2" t="s">
        <v>113</v>
      </c>
      <c r="E35" s="7">
        <v>23700</v>
      </c>
      <c r="F35" s="2" t="s">
        <v>17</v>
      </c>
      <c r="G35" s="2" t="s">
        <v>12</v>
      </c>
      <c r="H35" s="2" t="s">
        <v>81</v>
      </c>
    </row>
    <row r="36" spans="1:8" ht="15.75" x14ac:dyDescent="0.25">
      <c r="A36" s="1">
        <v>45719</v>
      </c>
      <c r="B36" s="2" t="s">
        <v>114</v>
      </c>
      <c r="C36" s="2" t="s">
        <v>115</v>
      </c>
      <c r="D36" s="2" t="s">
        <v>116</v>
      </c>
      <c r="E36" s="7">
        <v>30750</v>
      </c>
      <c r="F36" s="2" t="s">
        <v>21</v>
      </c>
      <c r="G36" s="2" t="s">
        <v>12</v>
      </c>
      <c r="H36" s="2" t="s">
        <v>81</v>
      </c>
    </row>
    <row r="37" spans="1:8" ht="15.75" x14ac:dyDescent="0.25">
      <c r="A37" s="1">
        <v>45719</v>
      </c>
      <c r="B37" s="2" t="s">
        <v>117</v>
      </c>
      <c r="C37" s="2" t="s">
        <v>118</v>
      </c>
      <c r="D37" s="2" t="s">
        <v>119</v>
      </c>
      <c r="E37" s="7">
        <v>12750</v>
      </c>
      <c r="F37" s="2" t="s">
        <v>11</v>
      </c>
      <c r="G37" s="2" t="s">
        <v>12</v>
      </c>
      <c r="H37" s="2" t="s">
        <v>81</v>
      </c>
    </row>
    <row r="38" spans="1:8" ht="15.75" x14ac:dyDescent="0.25">
      <c r="A38" s="1">
        <v>45719</v>
      </c>
      <c r="B38" s="2" t="s">
        <v>120</v>
      </c>
      <c r="C38" s="2" t="s">
        <v>121</v>
      </c>
      <c r="D38" s="2" t="s">
        <v>122</v>
      </c>
      <c r="E38" s="7">
        <v>19200</v>
      </c>
      <c r="F38" s="2" t="s">
        <v>17</v>
      </c>
      <c r="G38" s="2" t="s">
        <v>12</v>
      </c>
      <c r="H38" s="2" t="s">
        <v>81</v>
      </c>
    </row>
    <row r="39" spans="1:8" ht="15.75" x14ac:dyDescent="0.25">
      <c r="A39" s="1">
        <v>45719</v>
      </c>
      <c r="B39" s="2" t="s">
        <v>123</v>
      </c>
      <c r="C39" s="2" t="s">
        <v>124</v>
      </c>
      <c r="D39" s="2" t="s">
        <v>125</v>
      </c>
      <c r="E39" s="7">
        <v>23250</v>
      </c>
      <c r="F39" s="2" t="s">
        <v>21</v>
      </c>
      <c r="G39" s="2" t="s">
        <v>12</v>
      </c>
      <c r="H39" s="2" t="s">
        <v>81</v>
      </c>
    </row>
    <row r="40" spans="1:8" ht="15.75" x14ac:dyDescent="0.25">
      <c r="A40" s="1">
        <v>45719</v>
      </c>
      <c r="B40" s="2" t="s">
        <v>126</v>
      </c>
      <c r="C40" s="2" t="s">
        <v>127</v>
      </c>
      <c r="D40" s="2" t="s">
        <v>128</v>
      </c>
      <c r="E40" s="7">
        <v>9750</v>
      </c>
      <c r="F40" s="2" t="s">
        <v>11</v>
      </c>
      <c r="G40" s="2" t="s">
        <v>12</v>
      </c>
      <c r="H40" s="2" t="s">
        <v>81</v>
      </c>
    </row>
    <row r="41" spans="1:8" ht="15.75" x14ac:dyDescent="0.25">
      <c r="A41" s="1">
        <v>45719</v>
      </c>
      <c r="B41" s="2" t="s">
        <v>129</v>
      </c>
      <c r="C41" s="2" t="s">
        <v>130</v>
      </c>
      <c r="D41" s="2" t="s">
        <v>131</v>
      </c>
      <c r="E41" s="7">
        <v>20250</v>
      </c>
      <c r="F41" s="2" t="s">
        <v>17</v>
      </c>
      <c r="G41" s="2" t="s">
        <v>12</v>
      </c>
      <c r="H41" s="2" t="s">
        <v>81</v>
      </c>
    </row>
    <row r="42" spans="1:8" ht="15.75" x14ac:dyDescent="0.25">
      <c r="A42" s="1">
        <v>45719</v>
      </c>
      <c r="B42" s="2" t="s">
        <v>132</v>
      </c>
      <c r="C42" s="2" t="s">
        <v>133</v>
      </c>
      <c r="D42" s="2" t="s">
        <v>134</v>
      </c>
      <c r="E42" s="7">
        <v>25500</v>
      </c>
      <c r="F42" s="2" t="s">
        <v>21</v>
      </c>
      <c r="G42" s="2" t="s">
        <v>12</v>
      </c>
      <c r="H42" s="2" t="s">
        <v>81</v>
      </c>
    </row>
    <row r="43" spans="1:8" ht="15.75" x14ac:dyDescent="0.25">
      <c r="A43" s="1">
        <v>45719</v>
      </c>
      <c r="B43" s="2" t="s">
        <v>135</v>
      </c>
      <c r="C43" s="2" t="s">
        <v>136</v>
      </c>
      <c r="D43" s="2" t="s">
        <v>137</v>
      </c>
      <c r="E43" s="7">
        <v>18200</v>
      </c>
      <c r="F43" s="2" t="s">
        <v>11</v>
      </c>
      <c r="G43" s="2" t="s">
        <v>12</v>
      </c>
      <c r="H43" s="2" t="s">
        <v>81</v>
      </c>
    </row>
    <row r="44" spans="1:8" ht="15.75" x14ac:dyDescent="0.25">
      <c r="A44" s="1">
        <v>45719</v>
      </c>
      <c r="B44" s="2" t="s">
        <v>138</v>
      </c>
      <c r="C44" s="2" t="s">
        <v>139</v>
      </c>
      <c r="D44" s="2" t="s">
        <v>140</v>
      </c>
      <c r="E44" s="7">
        <v>29250</v>
      </c>
      <c r="F44" s="2" t="s">
        <v>17</v>
      </c>
      <c r="G44" s="2" t="s">
        <v>12</v>
      </c>
      <c r="H44" s="2" t="s">
        <v>81</v>
      </c>
    </row>
    <row r="45" spans="1:8" ht="15.75" x14ac:dyDescent="0.25">
      <c r="A45" s="1">
        <v>45719</v>
      </c>
      <c r="B45" s="2" t="s">
        <v>141</v>
      </c>
      <c r="C45" s="2" t="s">
        <v>142</v>
      </c>
      <c r="D45" s="2" t="s">
        <v>143</v>
      </c>
      <c r="E45" s="7">
        <v>19500</v>
      </c>
      <c r="F45" s="2" t="s">
        <v>21</v>
      </c>
      <c r="G45" s="2" t="s">
        <v>12</v>
      </c>
      <c r="H45" s="2" t="s">
        <v>81</v>
      </c>
    </row>
    <row r="46" spans="1:8" ht="15.75" x14ac:dyDescent="0.25">
      <c r="A46" s="1">
        <v>45719</v>
      </c>
      <c r="B46" s="2" t="s">
        <v>144</v>
      </c>
      <c r="C46" s="2" t="s">
        <v>145</v>
      </c>
      <c r="D46" s="2" t="s">
        <v>146</v>
      </c>
      <c r="E46" s="7">
        <v>12800</v>
      </c>
      <c r="F46" s="2" t="s">
        <v>11</v>
      </c>
      <c r="G46" s="2" t="s">
        <v>12</v>
      </c>
      <c r="H46" s="2" t="s">
        <v>81</v>
      </c>
    </row>
    <row r="47" spans="1:8" ht="15.75" x14ac:dyDescent="0.25">
      <c r="A47" s="1">
        <v>45719</v>
      </c>
      <c r="B47" s="2" t="s">
        <v>147</v>
      </c>
      <c r="C47" s="2" t="s">
        <v>148</v>
      </c>
      <c r="D47" s="2" t="s">
        <v>149</v>
      </c>
      <c r="E47" s="7">
        <v>27750</v>
      </c>
      <c r="F47" s="2" t="s">
        <v>17</v>
      </c>
      <c r="G47" s="2" t="s">
        <v>12</v>
      </c>
      <c r="H47" s="2" t="s">
        <v>81</v>
      </c>
    </row>
    <row r="48" spans="1:8" ht="15.75" x14ac:dyDescent="0.25">
      <c r="A48" s="1">
        <v>45719</v>
      </c>
      <c r="B48" s="2" t="s">
        <v>150</v>
      </c>
      <c r="C48" s="2" t="s">
        <v>151</v>
      </c>
      <c r="D48" s="2" t="s">
        <v>152</v>
      </c>
      <c r="E48" s="7">
        <v>32250</v>
      </c>
      <c r="F48" s="2" t="s">
        <v>21</v>
      </c>
      <c r="G48" s="2" t="s">
        <v>12</v>
      </c>
      <c r="H48" s="2" t="s">
        <v>81</v>
      </c>
    </row>
    <row r="49" spans="1:8" ht="15.75" x14ac:dyDescent="0.25">
      <c r="A49" s="1">
        <v>45719</v>
      </c>
      <c r="B49" s="2" t="s">
        <v>153</v>
      </c>
      <c r="C49" s="2" t="s">
        <v>154</v>
      </c>
      <c r="D49" s="2" t="s">
        <v>61</v>
      </c>
      <c r="E49" s="7">
        <v>16200</v>
      </c>
      <c r="F49" s="2" t="s">
        <v>11</v>
      </c>
      <c r="G49" s="2" t="s">
        <v>12</v>
      </c>
      <c r="H49" s="2" t="s">
        <v>81</v>
      </c>
    </row>
    <row r="50" spans="1:8" ht="15.75" x14ac:dyDescent="0.25">
      <c r="A50" s="1">
        <v>45719</v>
      </c>
      <c r="B50" s="2" t="s">
        <v>155</v>
      </c>
      <c r="C50" s="2" t="s">
        <v>156</v>
      </c>
      <c r="D50" s="2" t="s">
        <v>157</v>
      </c>
      <c r="E50" s="7">
        <v>21750</v>
      </c>
      <c r="F50" s="2" t="s">
        <v>17</v>
      </c>
      <c r="G50" s="2" t="s">
        <v>12</v>
      </c>
      <c r="H50" s="2" t="s">
        <v>81</v>
      </c>
    </row>
    <row r="51" spans="1:8" ht="15.75" x14ac:dyDescent="0.25">
      <c r="A51" s="1">
        <v>45719</v>
      </c>
      <c r="B51" s="2" t="s">
        <v>158</v>
      </c>
      <c r="C51" s="2" t="s">
        <v>159</v>
      </c>
      <c r="D51" s="2" t="s">
        <v>160</v>
      </c>
      <c r="E51" s="7">
        <v>26700</v>
      </c>
      <c r="F51" s="2" t="s">
        <v>21</v>
      </c>
      <c r="G51" s="2" t="s">
        <v>12</v>
      </c>
      <c r="H51" s="2" t="s">
        <v>81</v>
      </c>
    </row>
    <row r="54" spans="1:8" ht="15.75" x14ac:dyDescent="0.25">
      <c r="A54" s="10" t="s">
        <v>161</v>
      </c>
      <c r="B54" s="11"/>
    </row>
    <row r="55" spans="1:8" ht="15.75" x14ac:dyDescent="0.25">
      <c r="A55" s="3" t="s">
        <v>162</v>
      </c>
      <c r="B55" s="3">
        <f>COUNTA(B2:B51)</f>
        <v>50</v>
      </c>
    </row>
    <row r="56" spans="1:8" ht="15.75" x14ac:dyDescent="0.25">
      <c r="A56" s="3" t="s">
        <v>163</v>
      </c>
      <c r="B56" s="12">
        <f>SUM(E2:E51)</f>
        <v>968450</v>
      </c>
    </row>
    <row r="57" spans="1:8" ht="15.75" x14ac:dyDescent="0.25">
      <c r="A57" s="3" t="s">
        <v>164</v>
      </c>
      <c r="B57" s="12">
        <f>AVERAGE(E2:E51)</f>
        <v>19369</v>
      </c>
    </row>
    <row r="58" spans="1:8" ht="15.75" x14ac:dyDescent="0.25">
      <c r="A58" s="3"/>
      <c r="B58" s="4"/>
    </row>
    <row r="59" spans="1:8" ht="15.75" x14ac:dyDescent="0.25">
      <c r="A59" s="10" t="s">
        <v>165</v>
      </c>
      <c r="B59" s="11"/>
    </row>
    <row r="60" spans="1:8" ht="15.75" x14ac:dyDescent="0.25">
      <c r="A60" s="3" t="s">
        <v>11</v>
      </c>
      <c r="B60" s="12">
        <f>SUMIF(F2:F51,"Cash",E2:E51)</f>
        <v>290350</v>
      </c>
    </row>
    <row r="61" spans="1:8" ht="15.75" x14ac:dyDescent="0.25">
      <c r="A61" s="3" t="s">
        <v>17</v>
      </c>
      <c r="B61" s="12">
        <f>SUMIF(F2:F51,"Card",E2:E51)</f>
        <v>320650</v>
      </c>
    </row>
    <row r="62" spans="1:8" ht="15.75" x14ac:dyDescent="0.25">
      <c r="A62" s="3" t="s">
        <v>21</v>
      </c>
      <c r="B62" s="12">
        <f>SUMIF(F2:F51,"Transfer",E2:E51)</f>
        <v>357450</v>
      </c>
    </row>
    <row r="63" spans="1:8" ht="15.75" x14ac:dyDescent="0.25">
      <c r="A63" s="3"/>
      <c r="B63" s="3"/>
    </row>
    <row r="64" spans="1:8" ht="15.75" x14ac:dyDescent="0.25">
      <c r="A64" s="10" t="s">
        <v>166</v>
      </c>
      <c r="B64" s="11"/>
    </row>
    <row r="65" spans="1:2" ht="15.75" x14ac:dyDescent="0.25">
      <c r="A65" s="3" t="s">
        <v>13</v>
      </c>
      <c r="B65" s="12">
        <f>SUMIF(H2:H51,"Morning",E2:E51)</f>
        <v>157450</v>
      </c>
    </row>
    <row r="66" spans="1:2" ht="15.75" x14ac:dyDescent="0.25">
      <c r="A66" s="3" t="s">
        <v>46</v>
      </c>
      <c r="B66" s="12">
        <f>SUMIF(H2:H51,"Afternoon",E2:E51)</f>
        <v>228450</v>
      </c>
    </row>
    <row r="67" spans="1:2" ht="15.75" x14ac:dyDescent="0.25">
      <c r="A67" s="3" t="s">
        <v>81</v>
      </c>
      <c r="B67" s="12">
        <f>SUMIF(H2:H51,"Evening",E2:E51)</f>
        <v>582550</v>
      </c>
    </row>
    <row r="68" spans="1:2" ht="15.75" x14ac:dyDescent="0.25">
      <c r="A68" s="3"/>
      <c r="B68" s="3"/>
    </row>
    <row r="69" spans="1:2" ht="15.75" x14ac:dyDescent="0.25">
      <c r="A69" s="10" t="s">
        <v>167</v>
      </c>
      <c r="B69" s="11"/>
    </row>
    <row r="70" spans="1:2" ht="15.75" x14ac:dyDescent="0.25">
      <c r="A70" s="3" t="s">
        <v>6</v>
      </c>
      <c r="B70" s="3" t="s">
        <v>12</v>
      </c>
    </row>
    <row r="71" spans="1:2" ht="15.75" x14ac:dyDescent="0.25">
      <c r="A71" s="3" t="s">
        <v>168</v>
      </c>
      <c r="B71" s="5">
        <v>1</v>
      </c>
    </row>
  </sheetData>
  <mergeCells count="4">
    <mergeCell ref="A54:B54"/>
    <mergeCell ref="A59:B59"/>
    <mergeCell ref="A64:B64"/>
    <mergeCell ref="A69:B6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cynthiaonuoha.cs@gmail.com</dc:creator>
  <cp:lastModifiedBy>cynthiaonuoha.cs@gmail.com</cp:lastModifiedBy>
  <dcterms:created xsi:type="dcterms:W3CDTF">2026-03-16T16:28:11Z</dcterms:created>
  <dcterms:modified xsi:type="dcterms:W3CDTF">2026-03-16T17:16:31Z</dcterms:modified>
</cp:coreProperties>
</file>